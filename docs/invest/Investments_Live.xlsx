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ртфейл" sheetId="1" state="visible" r:id="rId3"/>
    <sheet name="Live" sheetId="2" state="visible" r:id="rId4"/>
    <sheet name="История" sheetId="3" state="visible" r:id="rId5"/>
    <sheet name="Данни" sheetId="4" state="visible" r:id="rId6"/>
    <sheet name="Настройк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<sst xmlns="http://schemas.openxmlformats.org/spreadsheetml/2006/main" count="163" uniqueCount="107">
  <si>
    <t xml:space="preserve">💰  P&amp;L ТРЕКЕР — Колко си спечелил / загубил?</t>
  </si>
  <si>
    <t xml:space="preserve">Обновено (бот):</t>
  </si>
  <si>
    <t xml:space="preserve">Група</t>
  </si>
  <si>
    <t xml:space="preserve">Актив</t>
  </si>
  <si>
    <t xml:space="preserve">ID</t>
  </si>
  <si>
    <t xml:space="preserve">Вложено (€)</t>
  </si>
  <si>
    <t xml:space="preserve">Текуща стойност (€)</t>
  </si>
  <si>
    <t xml:space="preserve">Печалба/Загуба (€)</t>
  </si>
  <si>
    <t xml:space="preserve">Доходност (%)</t>
  </si>
  <si>
    <t xml:space="preserve">Статус</t>
  </si>
  <si>
    <t xml:space="preserve">Цена</t>
  </si>
  <si>
    <t xml:space="preserve">Вал.</t>
  </si>
  <si>
    <t xml:space="preserve">Дн. промяна</t>
  </si>
  <si>
    <t xml:space="preserve">Investments</t>
  </si>
  <si>
    <t xml:space="preserve">iShares ETF (EXI2)</t>
  </si>
  <si>
    <t xml:space="preserve">EXI2</t>
  </si>
  <si>
    <t xml:space="preserve">Marvell</t>
  </si>
  <si>
    <t xml:space="preserve">MRVL</t>
  </si>
  <si>
    <t xml:space="preserve">VanEck Defense ETF</t>
  </si>
  <si>
    <t xml:space="preserve">DFEN</t>
  </si>
  <si>
    <t xml:space="preserve">NVIDIA</t>
  </si>
  <si>
    <t xml:space="preserve">NVDA</t>
  </si>
  <si>
    <t xml:space="preserve">Robo-Advisor</t>
  </si>
  <si>
    <t xml:space="preserve">ROBO</t>
  </si>
  <si>
    <t xml:space="preserve">CRYPTO</t>
  </si>
  <si>
    <t xml:space="preserve">Bitcoin</t>
  </si>
  <si>
    <t xml:space="preserve">BTC</t>
  </si>
  <si>
    <t xml:space="preserve">Ethereum Classic</t>
  </si>
  <si>
    <t xml:space="preserve">ETC</t>
  </si>
  <si>
    <t xml:space="preserve">Flare</t>
  </si>
  <si>
    <t xml:space="preserve">FLR</t>
  </si>
  <si>
    <t xml:space="preserve">ОБЩО ПОРТФОЛИО</t>
  </si>
  <si>
    <t xml:space="preserve">КЕШ (извън P&amp;L)</t>
  </si>
  <si>
    <t xml:space="preserve">Personal</t>
  </si>
  <si>
    <t xml:space="preserve">PERSONAL</t>
  </si>
  <si>
    <t xml:space="preserve">Cash balance</t>
  </si>
  <si>
    <t xml:space="preserve">CASH</t>
  </si>
  <si>
    <t xml:space="preserve">ОБЩО С КЕШ</t>
  </si>
  <si>
    <t xml:space="preserve">💸  КОГА ДА ТЕГЛИШ — УМНИЯТ КАЛКУЛАТОР</t>
  </si>
  <si>
    <t xml:space="preserve">Жълто = въвеждаш ти; всичко останало се смята само.</t>
  </si>
  <si>
    <t xml:space="preserve">Искам да изтегля (€):</t>
  </si>
  <si>
    <t xml:space="preserve">Сумата, която искаш да изтеглиш</t>
  </si>
  <si>
    <t xml:space="preserve">Обща текуща стойност (€):</t>
  </si>
  <si>
    <t xml:space="preserve">Автоматично от таблицата горе</t>
  </si>
  <si>
    <t xml:space="preserve">Общо вложено (€):</t>
  </si>
  <si>
    <t xml:space="preserve">Доходност на портфейла:</t>
  </si>
  <si>
    <t xml:space="preserve">След теглене остава (€):</t>
  </si>
  <si>
    <t xml:space="preserve">% от портфолиото изтеглено:</t>
  </si>
  <si>
    <t xml:space="preserve">Сигнал:</t>
  </si>
  <si>
    <t xml:space="preserve">📋  ПРАВИЛА ЗА ТЕГЛЕНЕ — Твоят дългосрочен план</t>
  </si>
  <si>
    <t xml:space="preserve">🟢 ЗЕЛЕНА СВЕТЛИНА</t>
  </si>
  <si>
    <t xml:space="preserve">Теглиш ако: На печалба над +20% И тегленето е под 25% от портфолиото И имаш конкретна нужда (спешно)</t>
  </si>
  <si>
    <t xml:space="preserve">🟡 ЖЪЛТА СВЕТЛИНА</t>
  </si>
  <si>
    <t xml:space="preserve">Помисли ако: На малка печалба (0-20%) ИЛИ тегленето е 25-50% от портфолиото — може би изчакай</t>
  </si>
  <si>
    <t xml:space="preserve">🔴 ЧЕРВЕНА СВЕТЛИНА</t>
  </si>
  <si>
    <t xml:space="preserve">НЕ теглиш ако: На загуба ИЛИ тегленето е над 50% ИЛИ нямаш конкретна причина — емоциите лъжат</t>
  </si>
  <si>
    <t xml:space="preserve">💡 ЗЛАТНОТО ПРАВИЛО</t>
  </si>
  <si>
    <t xml:space="preserve">Никога не тегли от паника. Ако пазарът падна — точно тогава НЕ продавай. Изчакай възстановяване.</t>
  </si>
  <si>
    <t xml:space="preserve">⏰ ВРЕМЕВИ ХОРИЗОНТ</t>
  </si>
  <si>
    <t xml:space="preserve">Ако не ти трябват парите следващите 12 месеца — не теглиш. Времето е твой най-добър съюзник.</t>
  </si>
  <si>
    <t xml:space="preserve">📖  ИСТОРИЯ НА ТЕГЛЕНИЯТА</t>
  </si>
  <si>
    <t xml:space="preserve">Дата</t>
  </si>
  <si>
    <t xml:space="preserve">Сума изтеглена (€)</t>
  </si>
  <si>
    <t xml:space="preserve">Цена при теглене</t>
  </si>
  <si>
    <t xml:space="preserve">Бележка</t>
  </si>
  <si>
    <t xml:space="preserve">пример →</t>
  </si>
  <si>
    <t xml:space="preserve">(напр. BTC)</t>
  </si>
  <si>
    <t xml:space="preserve">Общо изтеглено:</t>
  </si>
  <si>
    <t xml:space="preserve">asset</t>
  </si>
  <si>
    <t xml:space="preserve">name</t>
  </si>
  <si>
    <t xml:space="preserve">group</t>
  </si>
  <si>
    <t xml:space="preserve">price</t>
  </si>
  <si>
    <t xml:space="preserve">ccy</t>
  </si>
  <si>
    <t xml:space="preserve">price_eur</t>
  </si>
  <si>
    <t xml:space="preserve">qty</t>
  </si>
  <si>
    <t xml:space="preserve">value_eur</t>
  </si>
  <si>
    <t xml:space="preserve">invested_eur</t>
  </si>
  <si>
    <t xml:space="preserve">pnl_eur</t>
  </si>
  <si>
    <t xml:space="preserve">pnl_pct</t>
  </si>
  <si>
    <t xml:space="preserve">chg_day_pct</t>
  </si>
  <si>
    <t xml:space="preserve">updated</t>
  </si>
  <si>
    <t xml:space="preserve">src</t>
  </si>
  <si>
    <t xml:space="preserve">crypto</t>
  </si>
  <si>
    <t xml:space="preserve">USD</t>
  </si>
  <si>
    <t xml:space="preserve">2026-09-27T14:34+03:00</t>
  </si>
  <si>
    <t xml:space="preserve">revolut</t>
  </si>
  <si>
    <t xml:space="preserve">stocks</t>
  </si>
  <si>
    <t xml:space="preserve">EUR</t>
  </si>
  <si>
    <t xml:space="preserve">cash</t>
  </si>
  <si>
    <t xml:space="preserve">Снимка на latest.csv към 27.09.2026 (стойностите от Revolut). Ползва се само ако лист Live е празен.</t>
  </si>
  <si>
    <t xml:space="preserve">⚙️  ЕДНОКРАТНА НАСТРОЙКА — свързване с цените от бота (≈3 мин)</t>
  </si>
  <si>
    <t xml:space="preserve">Ботът записва цените всеки час в GitHub. Тази книга ги чете оттам чрез Power Query. След настройката: Data → Refresh All (Ctrl+Alt+F5).</t>
  </si>
  <si>
    <t xml:space="preserve">Докато не свържеш, лист „Портфейл“ показва снимката от лист „Данни“ (стойностите от Revolut към 27.09.2026).</t>
  </si>
  <si>
    <t xml:space="preserve">ЗАЯВКА 1 — текущи цени → лист Live</t>
  </si>
  <si>
    <t xml:space="preserve">1. Data → Get Data → From Other Sources → Blank Query</t>
  </si>
  <si>
    <t xml:space="preserve">2. В Power Query: Home → Advanced Editor → изтрий всичко и постави кода отдолу → Done</t>
  </si>
  <si>
    <t xml:space="preserve">3. Вдясно Name: latest</t>
  </si>
  <si>
    <t xml:space="preserve">4. Home → Close &amp; Load ▾ → Close &amp; Load To… → Table → Existing worksheet → =Live!$A$1 → OK</t>
  </si>
  <si>
    <t xml:space="preserve">КОД →</t>
  </si>
  <si>
    <t xml:space="preserve">let
    Source = Csv.Document(Web.Contents("https://raw.githubusercontent.com/asparuhtah/bot/main/docs/invest/latest.csv"), [Delimiter=",", Encoding=65001, QuoteStyle=QuoteStyle.Csv]),
    Headers = Table.PromoteHeaders(Source, [PromoteAllScalars=true]),
    Typed = Table.TransformColumnTypes(Headers, {{"price", type number}, {"price_eur", type number}, {"qty", type number}, {"value_eur", type number}, {"invested_eur", type number}, {"pnl_eur", type number}, {"pnl_pct", type number}, {"chg_day_pct", type number}}, "en-US")
in
    Typed</t>
  </si>
  <si>
    <t xml:space="preserve">ЗАЯВКА 2 — дневна история → лист История (за графиката)</t>
  </si>
  <si>
    <t xml:space="preserve">Същите стъпки, Name: daily, Existing worksheet → =История!$A$1</t>
  </si>
  <si>
    <t xml:space="preserve">let
    Source = Csv.Document(Web.Contents("https://raw.githubusercontent.com/asparuhtah/bot/main/docs/invest/daily.csv"), [Delimiter=",", Encoding=65001, QuoteStyle=QuoteStyle.Csv]),
    Headers = Table.PromoteHeaders(Source, [PromoteAllScalars=true]),
    Cols = List.RemoveItems(Table.ColumnNames(Headers), {"date", "time"}),
    Typed = Table.TransformColumnTypes(Headers, List.Transform(Cols, each {_, type number}), "en-US"),
    Dated = Table.TransformColumnTypes(Typed, {{"date", type date}}, "en-US")
in
    Dated</t>
  </si>
  <si>
    <t xml:space="preserve">АВТОМАТИЧНО ОПРЕСНЯВАНЕ (по желание): Data → Queries &amp; Connections → десен бутон на заявката → Properties → ✔ Refresh every 60 minutes и ✔ Refresh data when opening the file</t>
  </si>
  <si>
    <t xml:space="preserve">Защо кодът, а не „From Web“: той казва на Excel, че числата са с точка (en-US). Иначе при български регионални настройки 120.74 може да стане 12074.</t>
  </si>
  <si>
    <t xml:space="preserve">Вложените суми и количествата се сменят САМО в GitHub: docs/invest/portfolio.json (молив ✎). Excel и dashboard-ът ги четат оттам.</t>
  </si>
  <si>
    <t xml:space="preserve">Източници на файловете: https://raw.githubusercontent.com/asparuhtah/bot/main/docs/invest/latest.csv  ·  https://raw.githubusercontent.com/asparuhtah/bot/main/docs/invest/daily.csv  ·  https://raw.githubusercontent.com/asparuhtah/bot/main/docs/invest/prices_hourly.csv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</si>
</sst>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;\(#,##0.00&quot; €)&quot;;\-"/>
    <numFmt numFmtId="166" formatCode="0.0%;\(0.0%\);\-"/>
    <numFmt numFmtId="167" formatCode="#,##0.00##"/>
    <numFmt numFmtId="168" formatCode="dd\.mm\.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1"/>
      <color rgb="FF6B728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9CA3AF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color rgb="FF9CA3A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sz val="9"/>
      <name val="Consolas"/>
      <family val="0"/>
      <charset val="1"/>
    </font>
    <font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DC2626"/>
      </font>
    </dxf>
    <dxf>
      <font>
        <color rgb="FF16A34A"/>
      </font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EF9C3"/>
      <rgbColor rgb="FFDCFCE7"/>
      <rgbColor rgb="FF660066"/>
      <rgbColor rgb="FFFF8080"/>
      <rgbColor rgb="FF4A7EBB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EE2E2"/>
      <rgbColor rgb="FF2563EB"/>
      <rgbColor rgb="FF33CCCC"/>
      <rgbColor rgb="FF98B855"/>
      <rgbColor rgb="FFFFCC00"/>
      <rgbColor rgb="FFFF9900"/>
      <rgbColor rgb="FFFF6600"/>
      <rgbColor rgb="FF6B7280"/>
      <rgbColor rgb="FF9CA3AF"/>
      <rgbColor rgb="FF003366"/>
      <rgbColor rgb="FF16A34A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Стойност на портфейла (без кеш) vs вложено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История!D1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История!$A$2:$A$2000</c:f>
              <c:strCache>
                <c:ptCount val="199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strCache>
            </c:strRef>
          </c:cat>
          <c:val>
            <c:numRef>
              <c:f>История!$D$2:$D$2000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1"/>
          <c:order val="1"/>
          <c:tx>
            <c:strRef>
              <c:f>История!G1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История!$A$2:$A$2000</c:f>
              <c:strCache>
                <c:ptCount val="199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strCache>
            </c:strRef>
          </c:cat>
          <c:val>
            <c:numRef>
              <c:f>История!$G$2:$G$2000</c:f>
              <c:numCache>
                <c:formatCode>General</c:formatCode>
                <c:ptCount val="1999"/>
              </c:numCache>
            </c:numRef>
          </c:val>
          <c:smooth val="1"/>
        </c:ser>
        <c:ser>
          <c:idx val="2"/>
          <c:order val="2"/>
          <c:tx>
            <c:strRef>
              <c:f>История!H1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История!$A$2:$A$2000</c:f>
              <c:strCache>
                <c:ptCount val="199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strCache>
            </c:strRef>
          </c:cat>
          <c:val>
            <c:numRef>
              <c:f>История!$H$2:$H$2000</c:f>
              <c:numCache>
                <c:formatCode>General</c:formatCode>
                <c:ptCount val="1999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926227"/>
        <c:axId val="61566214"/>
      </c:lineChart>
      <c:catAx>
        <c:axId val="28926227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66214"/>
        <c:crosses val="autoZero"/>
        <c:auto val="1"/>
        <c:lblAlgn val="ctr"/>
        <c:lblOffset val="100"/>
        <c:noMultiLvlLbl val="0"/>
      </c:catAx>
      <c:valAx>
        <c:axId val="61566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26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0</xdr:colOff>
      <xdr:row>1</xdr:row>
      <xdr:rowOff>0</xdr:rowOff>
    </xdr:from>
    <xdr:to>
      <xdr:col>43</xdr:col>
      <xdr:colOff>581400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18956520" y="190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32"/>
    <col collapsed="false" customWidth="true" hidden="false" outlineLevel="0" max="10" min="10" style="0" width="13"/>
    <col collapsed="false" customWidth="true" hidden="false" outlineLevel="0" max="11" min="11" style="0" width="6"/>
    <col collapsed="false" customWidth="true" hidden="false" outlineLevel="0" max="12" min="12" style="0" width="1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D3" s="3" t="str">
        <f aca="false">IF(COUNTA(Live!$A:$A)&gt;1,INDEX(Live!$M:$M,2),INDEX(Данни!$M:$M,2))</f>
        <v>2026-09-27T14:34+03:00</v>
      </c>
      <c r="G3" s="4" t="str">
        <f aca="false">IF(COUNTA(Live!$A:$A)&gt;1,"● Live данни от GitHub","● Снимка (Live не е свързан — виж Настройка)")</f>
        <v>● Снимка (Live не е свързан — виж Настройка)</v>
      </c>
    </row>
    <row r="5" customFormat="false" ht="30" hidden="false" customHeight="true" outlineLevel="0" collapsed="false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</row>
    <row r="6" customFormat="false" ht="15" hidden="false" customHeight="false" outlineLevel="0" collapsed="false">
      <c r="B6" s="6" t="s">
        <v>13</v>
      </c>
      <c r="C6" s="7" t="s">
        <v>14</v>
      </c>
      <c r="D6" s="8" t="s">
        <v>15</v>
      </c>
      <c r="E6" s="9" t="n">
        <f aca="false">IFERROR(INDEX(Live!$I:$I,MATCH($D6,Live!$A:$A,0)),INDEX(Данни!$I:$I,MATCH($D6,Данни!$A:$A,0)))</f>
        <v>50</v>
      </c>
      <c r="F6" s="9" t="n">
        <f aca="false">IFERROR(INDEX(Live!$H:$H,MATCH($D6,Live!$A:$A,0)),INDEX(Данни!$H:$H,MATCH($D6,Данни!$A:$A,0)))</f>
        <v>56.2</v>
      </c>
      <c r="G6" s="10" t="n">
        <f aca="false">F6-E6</f>
        <v>6.2</v>
      </c>
      <c r="H6" s="11" t="n">
        <f aca="false">IF(E6=0,0,G6/E6)</f>
        <v>0.124</v>
      </c>
      <c r="I6" s="7" t="str">
        <f aca="false">IF(H6&gt;=0.5,"🚀 Отлично!",IF(H6&gt;=0.2,"✅ Добре",IF(H6&gt;=0,"📈 На плюс",IF(H6&gt;=-0.15,"😐 Малка загуба — задръж",IF(H6&gt;=-0.3,"⚠️ Внимание","🚨 Под -30% — прегледай стратегия")))))</f>
        <v>📈 На плюс</v>
      </c>
      <c r="J6" s="12" t="n">
        <f aca="false">IFERROR(INDEX(Live!$D:$D,MATCH($D6,Live!$A:$A,0)),INDEX(Данни!$D:$D,MATCH($D6,Данни!$A:$A,0)))</f>
        <v>117.70528</v>
      </c>
      <c r="K6" s="13" t="str">
        <f aca="false">IFERROR(INDEX(Live!$E:$E,MATCH($D6,Live!$A:$A,0)),INDEX(Данни!$E:$E,MATCH($D6,Данни!$A:$A,0)))</f>
        <v>EUR</v>
      </c>
      <c r="L6" s="14" t="n">
        <f aca="false">IFERROR(IFERROR(INDEX(Live!$L:$L,MATCH($D6,Live!$A:$A,0)),INDEX(Данни!$L:$L,MATCH($D6,Данни!$A:$A,0)))/100,0)</f>
        <v>0</v>
      </c>
    </row>
    <row r="7" customFormat="false" ht="15" hidden="false" customHeight="false" outlineLevel="0" collapsed="false">
      <c r="B7" s="6"/>
      <c r="C7" s="7" t="s">
        <v>16</v>
      </c>
      <c r="D7" s="8" t="s">
        <v>17</v>
      </c>
      <c r="E7" s="9" t="n">
        <f aca="false">IFERROR(INDEX(Live!$I:$I,MATCH($D7,Live!$A:$A,0)),INDEX(Данни!$I:$I,MATCH($D7,Данни!$A:$A,0)))</f>
        <v>37.04</v>
      </c>
      <c r="F7" s="9" t="n">
        <f aca="false">IFERROR(INDEX(Live!$H:$H,MATCH($D7,Live!$A:$A,0)),INDEX(Данни!$H:$H,MATCH($D7,Данни!$A:$A,0)))</f>
        <v>59.46</v>
      </c>
      <c r="G7" s="10" t="n">
        <f aca="false">F7-E7</f>
        <v>22.42</v>
      </c>
      <c r="H7" s="11" t="n">
        <f aca="false">IF(E7=0,0,G7/E7)</f>
        <v>0.605291576673866</v>
      </c>
      <c r="I7" s="7" t="str">
        <f aca="false">IF(H7&gt;=0.5,"🚀 Отлично!",IF(H7&gt;=0.2,"✅ Добре",IF(H7&gt;=0,"📈 На плюс",IF(H7&gt;=-0.15,"😐 Малка загуба — задръж",IF(H7&gt;=-0.3,"⚠️ Внимание","🚨 Под -30% — прегледай стратегия")))))</f>
        <v>🚀 Отлично!</v>
      </c>
      <c r="J7" s="12" t="n">
        <f aca="false">IFERROR(INDEX(Live!$D:$D,MATCH($D7,Live!$A:$A,0)),INDEX(Данни!$D:$D,MATCH($D7,Данни!$A:$A,0)))</f>
        <v>261.777377</v>
      </c>
      <c r="K7" s="13" t="str">
        <f aca="false">IFERROR(INDEX(Live!$E:$E,MATCH($D7,Live!$A:$A,0)),INDEX(Данни!$E:$E,MATCH($D7,Данни!$A:$A,0)))</f>
        <v>USD</v>
      </c>
      <c r="L7" s="14" t="n">
        <f aca="false">IFERROR(IFERROR(INDEX(Live!$L:$L,MATCH($D7,Live!$A:$A,0)),INDEX(Данни!$L:$L,MATCH($D7,Данни!$A:$A,0)))/100,0)</f>
        <v>0</v>
      </c>
    </row>
    <row r="8" customFormat="false" ht="15" hidden="false" customHeight="false" outlineLevel="0" collapsed="false">
      <c r="B8" s="6"/>
      <c r="C8" s="7" t="s">
        <v>18</v>
      </c>
      <c r="D8" s="8" t="s">
        <v>19</v>
      </c>
      <c r="E8" s="9" t="n">
        <f aca="false">IFERROR(INDEX(Live!$I:$I,MATCH($D8,Live!$A:$A,0)),INDEX(Данни!$I:$I,MATCH($D8,Данни!$A:$A,0)))</f>
        <v>49</v>
      </c>
      <c r="F8" s="9" t="n">
        <f aca="false">IFERROR(INDEX(Live!$H:$H,MATCH($D8,Live!$A:$A,0)),INDEX(Данни!$H:$H,MATCH($D8,Данни!$A:$A,0)))</f>
        <v>45.54</v>
      </c>
      <c r="G8" s="10" t="n">
        <f aca="false">F8-E8</f>
        <v>-3.46</v>
      </c>
      <c r="H8" s="11" t="n">
        <f aca="false">IF(E8=0,0,G8/E8)</f>
        <v>-0.0706122448979592</v>
      </c>
      <c r="I8" s="7" t="str">
        <f aca="false">IF(H8&gt;=0.5,"🚀 Отлично!",IF(H8&gt;=0.2,"✅ Добре",IF(H8&gt;=0,"📈 На плюс",IF(H8&gt;=-0.15,"😐 Малка загуба — задръж",IF(H8&gt;=-0.3,"⚠️ Внимание","🚨 Под -30% — прегледай стратегия")))))</f>
        <v>😐 Малка загуба — задръж</v>
      </c>
      <c r="J8" s="12" t="n">
        <f aca="false">IFERROR(INDEX(Live!$D:$D,MATCH($D8,Live!$A:$A,0)),INDEX(Данни!$D:$D,MATCH($D8,Данни!$A:$A,0)))</f>
        <v>52.138653</v>
      </c>
      <c r="K8" s="13" t="str">
        <f aca="false">IFERROR(INDEX(Live!$E:$E,MATCH($D8,Live!$A:$A,0)),INDEX(Данни!$E:$E,MATCH($D8,Данни!$A:$A,0)))</f>
        <v>EUR</v>
      </c>
      <c r="L8" s="14" t="n">
        <f aca="false">IFERROR(IFERROR(INDEX(Live!$L:$L,MATCH($D8,Live!$A:$A,0)),INDEX(Данни!$L:$L,MATCH($D8,Данни!$A:$A,0)))/100,0)</f>
        <v>0</v>
      </c>
    </row>
    <row r="9" customFormat="false" ht="15" hidden="false" customHeight="false" outlineLevel="0" collapsed="false">
      <c r="B9" s="6"/>
      <c r="C9" s="7" t="s">
        <v>20</v>
      </c>
      <c r="D9" s="8" t="s">
        <v>21</v>
      </c>
      <c r="E9" s="9" t="n">
        <f aca="false">IFERROR(INDEX(Live!$I:$I,MATCH($D9,Live!$A:$A,0)),INDEX(Данни!$I:$I,MATCH($D9,Данни!$A:$A,0)))</f>
        <v>74.08</v>
      </c>
      <c r="F9" s="9" t="n">
        <f aca="false">IFERROR(INDEX(Live!$H:$H,MATCH($D9,Live!$A:$A,0)),INDEX(Данни!$H:$H,MATCH($D9,Данни!$A:$A,0)))</f>
        <v>69.32</v>
      </c>
      <c r="G9" s="10" t="n">
        <f aca="false">F9-E9</f>
        <v>-4.76000000000001</v>
      </c>
      <c r="H9" s="11" t="n">
        <f aca="false">IF(E9=0,0,G9/E9)</f>
        <v>-0.0642548596112312</v>
      </c>
      <c r="I9" s="7" t="str">
        <f aca="false">IF(H9&gt;=0.5,"🚀 Отлично!",IF(H9&gt;=0.2,"✅ Добре",IF(H9&gt;=0,"📈 На плюс",IF(H9&gt;=-0.15,"😐 Малка загуба — задръж",IF(H9&gt;=-0.3,"⚠️ Внимание","🚨 Под -30% — прегледай стратегия")))))</f>
        <v>😐 Малка загуба — задръж</v>
      </c>
      <c r="J9" s="12" t="n">
        <f aca="false">IFERROR(INDEX(Live!$D:$D,MATCH($D9,Live!$A:$A,0)),INDEX(Данни!$D:$D,MATCH($D9,Данни!$A:$A,0)))</f>
        <v>224.337832</v>
      </c>
      <c r="K9" s="13" t="str">
        <f aca="false">IFERROR(INDEX(Live!$E:$E,MATCH($D9,Live!$A:$A,0)),INDEX(Данни!$E:$E,MATCH($D9,Данни!$A:$A,0)))</f>
        <v>USD</v>
      </c>
      <c r="L9" s="14" t="n">
        <f aca="false">IFERROR(IFERROR(INDEX(Live!$L:$L,MATCH($D9,Live!$A:$A,0)),INDEX(Данни!$L:$L,MATCH($D9,Данни!$A:$A,0)))/100,0)</f>
        <v>0</v>
      </c>
    </row>
    <row r="10" customFormat="false" ht="15" hidden="false" customHeight="false" outlineLevel="0" collapsed="false">
      <c r="B10" s="6"/>
      <c r="C10" s="7" t="s">
        <v>22</v>
      </c>
      <c r="D10" s="8" t="s">
        <v>23</v>
      </c>
      <c r="E10" s="9" t="n">
        <f aca="false">IFERROR(INDEX(Live!$I:$I,MATCH($D10,Live!$A:$A,0)),INDEX(Данни!$I:$I,MATCH($D10,Данни!$A:$A,0)))</f>
        <v>23.42</v>
      </c>
      <c r="F10" s="9" t="n">
        <f aca="false">IFERROR(INDEX(Live!$H:$H,MATCH($D10,Live!$A:$A,0)),INDEX(Данни!$H:$H,MATCH($D10,Данни!$A:$A,0)))</f>
        <v>20.81</v>
      </c>
      <c r="G10" s="10" t="n">
        <f aca="false">F10-E10</f>
        <v>-2.61</v>
      </c>
      <c r="H10" s="11" t="n">
        <f aca="false">IF(E10=0,0,G10/E10)</f>
        <v>-0.111443210930828</v>
      </c>
      <c r="I10" s="7" t="str">
        <f aca="false">IF(H10&gt;=0.5,"🚀 Отлично!",IF(H10&gt;=0.2,"✅ Добре",IF(H10&gt;=0,"📈 На плюс",IF(H10&gt;=-0.15,"😐 Малка загуба — задръж",IF(H10&gt;=-0.3,"⚠️ Внимание","🚨 Под -30% — прегледай стратегия")))))</f>
        <v>😐 Малка загуба — задръж</v>
      </c>
      <c r="J10" s="12" t="n">
        <f aca="false">IFERROR(INDEX(Live!$D:$D,MATCH($D10,Live!$A:$A,0)),INDEX(Данни!$D:$D,MATCH($D10,Данни!$A:$A,0)))</f>
        <v>20.81</v>
      </c>
      <c r="K10" s="13" t="str">
        <f aca="false">IFERROR(INDEX(Live!$E:$E,MATCH($D10,Live!$A:$A,0)),INDEX(Данни!$E:$E,MATCH($D10,Данни!$A:$A,0)))</f>
        <v>EUR</v>
      </c>
      <c r="L10" s="14" t="n">
        <f aca="false">IFERROR(IFERROR(INDEX(Live!$L:$L,MATCH($D10,Live!$A:$A,0)),INDEX(Данни!$L:$L,MATCH($D10,Данни!$A:$A,0)))/100,0)</f>
        <v>0</v>
      </c>
    </row>
    <row r="11" customFormat="false" ht="15" hidden="false" customHeight="false" outlineLevel="0" collapsed="false">
      <c r="B11" s="6" t="s">
        <v>24</v>
      </c>
      <c r="C11" s="7" t="s">
        <v>25</v>
      </c>
      <c r="D11" s="8" t="s">
        <v>26</v>
      </c>
      <c r="E11" s="9" t="n">
        <f aca="false">IFERROR(INDEX(Live!$I:$I,MATCH($D11,Live!$A:$A,0)),INDEX(Данни!$I:$I,MATCH($D11,Данни!$A:$A,0)))</f>
        <v>107</v>
      </c>
      <c r="F11" s="9" t="n">
        <f aca="false">IFERROR(INDEX(Live!$H:$H,MATCH($D11,Live!$A:$A,0)),INDEX(Данни!$H:$H,MATCH($D11,Данни!$A:$A,0)))</f>
        <v>120.74</v>
      </c>
      <c r="G11" s="10" t="n">
        <f aca="false">F11-E11</f>
        <v>13.74</v>
      </c>
      <c r="H11" s="11" t="n">
        <f aca="false">IF(E11=0,0,G11/E11)</f>
        <v>0.128411214953271</v>
      </c>
      <c r="I11" s="7" t="str">
        <f aca="false">IF(H11&gt;=0.5,"🚀 Отлично!",IF(H11&gt;=0.2,"✅ Добре",IF(H11&gt;=0,"📈 На плюс",IF(H11&gt;=-0.15,"😐 Малка загуба — задръж",IF(H11&gt;=-0.3,"⚠️ Внимание","🚨 Под -30% — прегледай стратегия")))))</f>
        <v>📈 На плюс</v>
      </c>
      <c r="J11" s="12" t="n">
        <f aca="false">IFERROR(INDEX(Live!$D:$D,MATCH($D11,Live!$A:$A,0)),INDEX(Данни!$D:$D,MATCH($D11,Данни!$A:$A,0)))</f>
        <v>84835.060326</v>
      </c>
      <c r="K11" s="13" t="str">
        <f aca="false">IFERROR(INDEX(Live!$E:$E,MATCH($D11,Live!$A:$A,0)),INDEX(Данни!$E:$E,MATCH($D11,Данни!$A:$A,0)))</f>
        <v>USD</v>
      </c>
      <c r="L11" s="14" t="n">
        <f aca="false">IFERROR(IFERROR(INDEX(Live!$L:$L,MATCH($D11,Live!$A:$A,0)),INDEX(Данни!$L:$L,MATCH($D11,Данни!$A:$A,0)))/100,0)</f>
        <v>0</v>
      </c>
    </row>
    <row r="12" customFormat="false" ht="15" hidden="false" customHeight="false" outlineLevel="0" collapsed="false">
      <c r="B12" s="6"/>
      <c r="C12" s="7" t="s">
        <v>27</v>
      </c>
      <c r="D12" s="8" t="s">
        <v>28</v>
      </c>
      <c r="E12" s="9" t="n">
        <f aca="false">IFERROR(INDEX(Live!$I:$I,MATCH($D12,Live!$A:$A,0)),INDEX(Данни!$I:$I,MATCH($D12,Данни!$A:$A,0)))</f>
        <v>58.03</v>
      </c>
      <c r="F12" s="9" t="n">
        <f aca="false">IFERROR(INDEX(Live!$H:$H,MATCH($D12,Live!$A:$A,0)),INDEX(Данни!$H:$H,MATCH($D12,Данни!$A:$A,0)))</f>
        <v>56</v>
      </c>
      <c r="G12" s="10" t="n">
        <f aca="false">F12-E12</f>
        <v>-2.03</v>
      </c>
      <c r="H12" s="11" t="n">
        <f aca="false">IF(E12=0,0,G12/E12)</f>
        <v>-0.0349819059107359</v>
      </c>
      <c r="I12" s="7" t="str">
        <f aca="false">IF(H12&gt;=0.5,"🚀 Отлично!",IF(H12&gt;=0.2,"✅ Добре",IF(H12&gt;=0,"📈 На плюс",IF(H12&gt;=-0.15,"😐 Малка загуба — задръж",IF(H12&gt;=-0.3,"⚠️ Внимание","🚨 Под -30% — прегледай стратегия")))))</f>
        <v>😐 Малка загуба — задръж</v>
      </c>
      <c r="J12" s="12" t="n">
        <f aca="false">IFERROR(INDEX(Live!$D:$D,MATCH($D12,Live!$A:$A,0)),INDEX(Данни!$D:$D,MATCH($D12,Данни!$A:$A,0)))</f>
        <v>9.477678</v>
      </c>
      <c r="K12" s="13" t="str">
        <f aca="false">IFERROR(INDEX(Live!$E:$E,MATCH($D12,Live!$A:$A,0)),INDEX(Данни!$E:$E,MATCH($D12,Данни!$A:$A,0)))</f>
        <v>USD</v>
      </c>
      <c r="L12" s="14" t="n">
        <f aca="false">IFERROR(IFERROR(INDEX(Live!$L:$L,MATCH($D12,Live!$A:$A,0)),INDEX(Данни!$L:$L,MATCH($D12,Данни!$A:$A,0)))/100,0)</f>
        <v>0</v>
      </c>
    </row>
    <row r="13" customFormat="false" ht="15" hidden="false" customHeight="false" outlineLevel="0" collapsed="false">
      <c r="B13" s="6"/>
      <c r="C13" s="7" t="s">
        <v>29</v>
      </c>
      <c r="D13" s="8" t="s">
        <v>30</v>
      </c>
      <c r="E13" s="9" t="n">
        <f aca="false">IFERROR(INDEX(Live!$I:$I,MATCH($D13,Live!$A:$A,0)),INDEX(Данни!$I:$I,MATCH($D13,Данни!$A:$A,0)))</f>
        <v>0.1</v>
      </c>
      <c r="F13" s="9" t="n">
        <f aca="false">IFERROR(INDEX(Live!$H:$H,MATCH($D13,Live!$A:$A,0)),INDEX(Данни!$H:$H,MATCH($D13,Данни!$A:$A,0)))</f>
        <v>0.09</v>
      </c>
      <c r="G13" s="10" t="n">
        <f aca="false">F13-E13</f>
        <v>-0.01</v>
      </c>
      <c r="H13" s="11" t="n">
        <f aca="false">IF(E13=0,0,G13/E13)</f>
        <v>-0.1</v>
      </c>
      <c r="I13" s="7" t="str">
        <f aca="false">IF(H13&gt;=0.5,"🚀 Отлично!",IF(H13&gt;=0.2,"✅ Добре",IF(H13&gt;=0,"📈 На плюс",IF(H13&gt;=-0.15,"😐 Малка загуба — задръж",IF(H13&gt;=-0.3,"⚠️ Внимание","🚨 Под -30% — прегледай стратегия")))))</f>
        <v>😐 Малка загуба — задръж</v>
      </c>
      <c r="J13" s="12" t="n">
        <f aca="false">IFERROR(INDEX(Live!$D:$D,MATCH($D13,Live!$A:$A,0)),INDEX(Данни!$D:$D,MATCH($D13,Данни!$A:$A,0)))</f>
        <v>0.00692</v>
      </c>
      <c r="K13" s="13" t="str">
        <f aca="false">IFERROR(INDEX(Live!$E:$E,MATCH($D13,Live!$A:$A,0)),INDEX(Данни!$E:$E,MATCH($D13,Данни!$A:$A,0)))</f>
        <v>USD</v>
      </c>
      <c r="L13" s="14" t="n">
        <f aca="false">IFERROR(IFERROR(INDEX(Live!$L:$L,MATCH($D13,Live!$A:$A,0)),INDEX(Данни!$L:$L,MATCH($D13,Данни!$A:$A,0)))/100,0)</f>
        <v>0</v>
      </c>
    </row>
    <row r="14" customFormat="false" ht="15" hidden="false" customHeight="false" outlineLevel="0" collapsed="false">
      <c r="B14" s="15"/>
      <c r="C14" s="15" t="s">
        <v>31</v>
      </c>
      <c r="D14" s="15"/>
      <c r="E14" s="16" t="n">
        <f aca="false">SUM(E6:E13)</f>
        <v>398.67</v>
      </c>
      <c r="F14" s="16" t="n">
        <f aca="false">SUM(F6:F13)</f>
        <v>428.16</v>
      </c>
      <c r="G14" s="16" t="n">
        <f aca="false">F14-E14</f>
        <v>29.49</v>
      </c>
      <c r="H14" s="17" t="n">
        <f aca="false">IF(E14=0,0,G14/E14)</f>
        <v>0.0739709534201218</v>
      </c>
      <c r="I14" s="15" t="str">
        <f aca="false">IF(H14&gt;=0,"📈 Портфейлът е на плюс","📉 Портфейлът е на минус")</f>
        <v>📈 Портфейлът е на плюс</v>
      </c>
      <c r="J14" s="15"/>
      <c r="K14" s="15"/>
      <c r="L14" s="15"/>
    </row>
    <row r="16" customFormat="false" ht="15" hidden="false" customHeight="false" outlineLevel="0" collapsed="false">
      <c r="B16" s="18" t="s">
        <v>32</v>
      </c>
    </row>
    <row r="17" customFormat="false" ht="15" hidden="false" customHeight="false" outlineLevel="0" collapsed="false">
      <c r="C17" s="19" t="s">
        <v>33</v>
      </c>
      <c r="D17" s="20" t="s">
        <v>34</v>
      </c>
      <c r="F17" s="21" t="n">
        <f aca="false">IFERROR(INDEX(Live!$H:$H,MATCH($D17,Live!$A:$A,0)),INDEX(Данни!$H:$H,MATCH($D17,Данни!$A:$A,0)))</f>
        <v>126.76</v>
      </c>
    </row>
    <row r="18" customFormat="false" ht="15" hidden="false" customHeight="false" outlineLevel="0" collapsed="false">
      <c r="C18" s="19" t="s">
        <v>35</v>
      </c>
      <c r="D18" s="20" t="s">
        <v>36</v>
      </c>
      <c r="F18" s="21" t="n">
        <f aca="false">IFERROR(INDEX(Live!$H:$H,MATCH($D18,Live!$A:$A,0)),INDEX(Данни!$H:$H,MATCH($D18,Данни!$A:$A,0)))</f>
        <v>0.43</v>
      </c>
    </row>
    <row r="19" customFormat="false" ht="15" hidden="false" customHeight="false" outlineLevel="0" collapsed="false">
      <c r="B19" s="22"/>
      <c r="C19" s="23" t="s">
        <v>37</v>
      </c>
      <c r="D19" s="22"/>
      <c r="E19" s="22"/>
      <c r="F19" s="24" t="n">
        <f aca="false">F14+SUM(F17:F18)</f>
        <v>555.35</v>
      </c>
      <c r="G19" s="22"/>
      <c r="H19" s="22"/>
      <c r="I19" s="22"/>
      <c r="J19" s="22"/>
      <c r="K19" s="22"/>
    </row>
    <row r="22" customFormat="false" ht="16.15" hidden="false" customHeight="false" outlineLevel="0" collapsed="false">
      <c r="B22" s="25" t="s">
        <v>38</v>
      </c>
    </row>
    <row r="23" customFormat="false" ht="15" hidden="false" customHeight="false" outlineLevel="0" collapsed="false">
      <c r="B23" s="4" t="s">
        <v>39</v>
      </c>
    </row>
    <row r="24" customFormat="false" ht="15" hidden="false" customHeight="false" outlineLevel="0" collapsed="false">
      <c r="B24" s="26" t="s">
        <v>40</v>
      </c>
      <c r="C24" s="26"/>
      <c r="D24" s="26"/>
      <c r="E24" s="27" t="n">
        <v>0</v>
      </c>
      <c r="F24" s="4" t="s">
        <v>41</v>
      </c>
    </row>
    <row r="25" customFormat="false" ht="15" hidden="false" customHeight="false" outlineLevel="0" collapsed="false">
      <c r="B25" s="26" t="s">
        <v>42</v>
      </c>
      <c r="C25" s="26"/>
      <c r="D25" s="26"/>
      <c r="E25" s="10" t="n">
        <f aca="false">F14</f>
        <v>428.16</v>
      </c>
      <c r="F25" s="4" t="s">
        <v>43</v>
      </c>
    </row>
    <row r="26" customFormat="false" ht="15" hidden="false" customHeight="false" outlineLevel="0" collapsed="false">
      <c r="B26" s="26" t="s">
        <v>44</v>
      </c>
      <c r="C26" s="26"/>
      <c r="D26" s="26"/>
      <c r="E26" s="10" t="n">
        <f aca="false">E14</f>
        <v>398.67</v>
      </c>
      <c r="F26" s="4" t="s">
        <v>43</v>
      </c>
    </row>
    <row r="27" customFormat="false" ht="15" hidden="false" customHeight="false" outlineLevel="0" collapsed="false">
      <c r="B27" s="26" t="s">
        <v>45</v>
      </c>
      <c r="C27" s="26"/>
      <c r="D27" s="26"/>
      <c r="E27" s="11" t="n">
        <f aca="false">H14</f>
        <v>0.0739709534201218</v>
      </c>
      <c r="F27" s="4"/>
    </row>
    <row r="28" customFormat="false" ht="15" hidden="false" customHeight="false" outlineLevel="0" collapsed="false">
      <c r="B28" s="26" t="s">
        <v>46</v>
      </c>
      <c r="C28" s="26"/>
      <c r="D28" s="26"/>
      <c r="E28" s="10" t="n">
        <f aca="false">E25-E24</f>
        <v>428.16</v>
      </c>
      <c r="F28" s="4"/>
    </row>
    <row r="29" customFormat="false" ht="15" hidden="false" customHeight="false" outlineLevel="0" collapsed="false">
      <c r="B29" s="26" t="s">
        <v>47</v>
      </c>
      <c r="C29" s="26"/>
      <c r="D29" s="26"/>
      <c r="E29" s="11" t="n">
        <f aca="false">IF(E25=0,0,E24/E25)</f>
        <v>0</v>
      </c>
      <c r="F29" s="4"/>
    </row>
    <row r="31" customFormat="false" ht="15" hidden="false" customHeight="false" outlineLevel="0" collapsed="false">
      <c r="B31" s="18" t="s">
        <v>48</v>
      </c>
      <c r="C31" s="28" t="str">
        <f aca="false">IF(E24=0,"Въведи сума за теглене в жълтото поле",IF(OR(E27&lt;0,E29&gt;0.5),"🔴 ЧЕРВЕНА СВЕТЛИНА — не теглиш",IF(AND(E27&gt;0.2,E29&lt;0.25),"🟢 ЗЕЛЕНА СВЕТЛИНА — може, ако имаш конкретна нужда","🟡 ЖЪЛТА СВЕТЛИНА — помисли, може би изчакай")))</f>
        <v>Въведи сума за теглене в жълтото поле</v>
      </c>
      <c r="D31" s="28"/>
      <c r="E31" s="28"/>
      <c r="F31" s="28"/>
      <c r="G31" s="28"/>
      <c r="H31" s="28"/>
      <c r="I31" s="28"/>
    </row>
    <row r="33" customFormat="false" ht="16.15" hidden="false" customHeight="false" outlineLevel="0" collapsed="false">
      <c r="B33" s="25" t="s">
        <v>49</v>
      </c>
    </row>
    <row r="34" customFormat="false" ht="15" hidden="false" customHeight="false" outlineLevel="0" collapsed="false">
      <c r="B34" s="29" t="s">
        <v>50</v>
      </c>
      <c r="C34" s="29"/>
      <c r="D34" s="26" t="s">
        <v>51</v>
      </c>
      <c r="E34" s="26"/>
      <c r="F34" s="26"/>
      <c r="G34" s="26"/>
      <c r="H34" s="26"/>
      <c r="I34" s="26"/>
      <c r="J34" s="26"/>
      <c r="K34" s="26"/>
    </row>
    <row r="35" customFormat="false" ht="15" hidden="false" customHeight="false" outlineLevel="0" collapsed="false">
      <c r="B35" s="29" t="s">
        <v>52</v>
      </c>
      <c r="C35" s="29"/>
      <c r="D35" s="26" t="s">
        <v>53</v>
      </c>
      <c r="E35" s="26"/>
      <c r="F35" s="26"/>
      <c r="G35" s="26"/>
      <c r="H35" s="26"/>
      <c r="I35" s="26"/>
      <c r="J35" s="26"/>
      <c r="K35" s="26"/>
    </row>
    <row r="36" customFormat="false" ht="15" hidden="false" customHeight="false" outlineLevel="0" collapsed="false">
      <c r="B36" s="29" t="s">
        <v>54</v>
      </c>
      <c r="C36" s="29"/>
      <c r="D36" s="26" t="s">
        <v>55</v>
      </c>
      <c r="E36" s="26"/>
      <c r="F36" s="26"/>
      <c r="G36" s="26"/>
      <c r="H36" s="26"/>
      <c r="I36" s="26"/>
      <c r="J36" s="26"/>
      <c r="K36" s="26"/>
    </row>
    <row r="37" customFormat="false" ht="15" hidden="false" customHeight="false" outlineLevel="0" collapsed="false">
      <c r="B37" s="29" t="s">
        <v>56</v>
      </c>
      <c r="C37" s="29"/>
      <c r="D37" s="26" t="s">
        <v>57</v>
      </c>
      <c r="E37" s="26"/>
      <c r="F37" s="26"/>
      <c r="G37" s="26"/>
      <c r="H37" s="26"/>
      <c r="I37" s="26"/>
      <c r="J37" s="26"/>
      <c r="K37" s="26"/>
    </row>
    <row r="38" customFormat="false" ht="15" hidden="false" customHeight="false" outlineLevel="0" collapsed="false">
      <c r="B38" s="29" t="s">
        <v>58</v>
      </c>
      <c r="C38" s="29"/>
      <c r="D38" s="26" t="s">
        <v>59</v>
      </c>
      <c r="E38" s="26"/>
      <c r="F38" s="26"/>
      <c r="G38" s="26"/>
      <c r="H38" s="26"/>
      <c r="I38" s="26"/>
      <c r="J38" s="26"/>
      <c r="K38" s="26"/>
    </row>
    <row r="40" customFormat="false" ht="16.15" hidden="false" customHeight="false" outlineLevel="0" collapsed="false">
      <c r="B40" s="25" t="s">
        <v>60</v>
      </c>
    </row>
    <row r="41" customFormat="false" ht="15" hidden="false" customHeight="false" outlineLevel="0" collapsed="false">
      <c r="B41" s="30" t="s">
        <v>61</v>
      </c>
      <c r="C41" s="30" t="s">
        <v>3</v>
      </c>
      <c r="E41" s="30" t="s">
        <v>62</v>
      </c>
      <c r="F41" s="30" t="s">
        <v>63</v>
      </c>
      <c r="G41" s="30" t="s">
        <v>64</v>
      </c>
    </row>
    <row r="42" customFormat="false" ht="15" hidden="false" customHeight="false" outlineLevel="0" collapsed="false">
      <c r="B42" s="31" t="s">
        <v>65</v>
      </c>
      <c r="C42" s="32" t="s">
        <v>66</v>
      </c>
      <c r="E42" s="33"/>
      <c r="F42" s="31"/>
      <c r="G42" s="31"/>
    </row>
    <row r="43" customFormat="false" ht="15" hidden="false" customHeight="false" outlineLevel="0" collapsed="false">
      <c r="B43" s="34"/>
      <c r="C43" s="31"/>
      <c r="E43" s="33"/>
      <c r="F43" s="31"/>
      <c r="G43" s="31"/>
    </row>
    <row r="44" customFormat="false" ht="15" hidden="false" customHeight="false" outlineLevel="0" collapsed="false">
      <c r="B44" s="34"/>
      <c r="C44" s="31"/>
      <c r="E44" s="33"/>
      <c r="F44" s="31"/>
      <c r="G44" s="31"/>
    </row>
    <row r="45" customFormat="false" ht="15" hidden="false" customHeight="false" outlineLevel="0" collapsed="false">
      <c r="B45" s="34"/>
      <c r="C45" s="31"/>
      <c r="E45" s="33"/>
      <c r="F45" s="31"/>
      <c r="G45" s="31"/>
    </row>
    <row r="46" customFormat="false" ht="15" hidden="false" customHeight="false" outlineLevel="0" collapsed="false">
      <c r="B46" s="34"/>
      <c r="C46" s="31"/>
      <c r="E46" s="33"/>
      <c r="F46" s="31"/>
      <c r="G46" s="31"/>
    </row>
    <row r="47" customFormat="false" ht="15" hidden="false" customHeight="false" outlineLevel="0" collapsed="false">
      <c r="B47" s="34"/>
      <c r="C47" s="31"/>
      <c r="E47" s="33"/>
      <c r="F47" s="31"/>
      <c r="G47" s="31"/>
    </row>
    <row r="48" customFormat="false" ht="15" hidden="false" customHeight="false" outlineLevel="0" collapsed="false">
      <c r="B48" s="34"/>
      <c r="C48" s="31"/>
      <c r="E48" s="33"/>
      <c r="F48" s="31"/>
      <c r="G48" s="31"/>
    </row>
    <row r="49" customFormat="false" ht="15" hidden="false" customHeight="false" outlineLevel="0" collapsed="false">
      <c r="B49" s="34"/>
      <c r="C49" s="31"/>
      <c r="E49" s="33"/>
      <c r="F49" s="31"/>
      <c r="G49" s="31"/>
    </row>
    <row r="50" customFormat="false" ht="15" hidden="false" customHeight="false" outlineLevel="0" collapsed="false">
      <c r="B50" s="34"/>
      <c r="C50" s="31"/>
      <c r="E50" s="33"/>
      <c r="F50" s="31"/>
      <c r="G50" s="31"/>
    </row>
    <row r="51" customFormat="false" ht="15" hidden="false" customHeight="false" outlineLevel="0" collapsed="false">
      <c r="B51" s="34"/>
      <c r="C51" s="31"/>
      <c r="E51" s="33"/>
      <c r="F51" s="31"/>
      <c r="G51" s="31"/>
    </row>
    <row r="52" customFormat="false" ht="15" hidden="false" customHeight="false" outlineLevel="0" collapsed="false">
      <c r="B52" s="34"/>
      <c r="C52" s="31"/>
      <c r="E52" s="33"/>
      <c r="F52" s="31"/>
      <c r="G52" s="31"/>
    </row>
    <row r="53" customFormat="false" ht="15" hidden="false" customHeight="false" outlineLevel="0" collapsed="false">
      <c r="B53" s="34"/>
      <c r="C53" s="31"/>
      <c r="E53" s="33"/>
      <c r="F53" s="31"/>
      <c r="G53" s="31"/>
    </row>
    <row r="54" customFormat="false" ht="15" hidden="false" customHeight="false" outlineLevel="0" collapsed="false">
      <c r="B54" s="18" t="s">
        <v>67</v>
      </c>
      <c r="E54" s="35" t="n">
        <f aca="false">SUM(E42:E53)</f>
        <v>0</v>
      </c>
    </row>
  </sheetData>
  <mergeCells count="17">
    <mergeCell ref="B24:D24"/>
    <mergeCell ref="B25:D25"/>
    <mergeCell ref="B26:D26"/>
    <mergeCell ref="B27:D27"/>
    <mergeCell ref="B28:D28"/>
    <mergeCell ref="B29:D29"/>
    <mergeCell ref="C31:I31"/>
    <mergeCell ref="B34:C34"/>
    <mergeCell ref="D34:K34"/>
    <mergeCell ref="B35:C35"/>
    <mergeCell ref="D35:K35"/>
    <mergeCell ref="B36:C36"/>
    <mergeCell ref="D36:K36"/>
    <mergeCell ref="B37:C37"/>
    <mergeCell ref="D37:K37"/>
    <mergeCell ref="B38:C38"/>
    <mergeCell ref="D38:K38"/>
  </mergeCells>
  <conditionalFormatting sqref="G6:G14">
    <cfRule type="expression" priority="2" aboveAverage="0" equalAverage="0" bottom="0" percent="0" rank="0" text="" dxfId="0">
      <formula>AND(ISNUMBER(G6),G6&lt;0)</formula>
    </cfRule>
    <cfRule type="expression" priority="3" aboveAverage="0" equalAverage="0" bottom="0" percent="0" rank="0" text="" dxfId="1">
      <formula>AND(ISNUMBER(G6),G6&gt;0)</formula>
    </cfRule>
  </conditionalFormatting>
  <conditionalFormatting sqref="H6:H14">
    <cfRule type="expression" priority="4" aboveAverage="0" equalAverage="0" bottom="0" percent="0" rank="0" text="" dxfId="0">
      <formula>AND(ISNUMBER(H6),H6&lt;0)</formula>
    </cfRule>
    <cfRule type="expression" priority="5" aboveAverage="0" equalAverage="0" bottom="0" percent="0" rank="0" text="" dxfId="1">
      <formula>AND(ISNUMBER(H6),H6&gt;0)</formula>
    </cfRule>
  </conditionalFormatting>
  <conditionalFormatting sqref="L6:L14">
    <cfRule type="expression" priority="6" aboveAverage="0" equalAverage="0" bottom="0" percent="0" rank="0" text="" dxfId="0">
      <formula>AND(ISNUMBER(L6),L6&lt;0)</formula>
    </cfRule>
    <cfRule type="expression" priority="7" aboveAverage="0" equalAverage="0" bottom="0" percent="0" rank="0" text="" dxfId="1">
      <formula>AND(ISNUMBER(L6),L6&gt;0)</formula>
    </cfRule>
  </conditionalFormatting>
  <conditionalFormatting sqref="C31:I31">
    <cfRule type="expression" priority="8" aboveAverage="0" equalAverage="0" bottom="0" percent="0" rank="0" text="" dxfId="2">
      <formula>LEFT($C$31,2)="🔴"</formula>
    </cfRule>
    <cfRule type="expression" priority="9" aboveAverage="0" equalAverage="0" bottom="0" percent="0" rank="0" text="" dxfId="3">
      <formula>LEFT($C$31,2)="🟢"</formula>
    </cfRule>
    <cfRule type="expression" priority="10" aboveAverage="0" equalAverage="0" bottom="0" percent="0" rank="0" text="" dxfId="4">
      <formula>LEFT($C$31,2)="🟡"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8" t="s">
        <v>68</v>
      </c>
      <c r="B1" s="18" t="s">
        <v>69</v>
      </c>
      <c r="C1" s="18" t="s">
        <v>70</v>
      </c>
      <c r="D1" s="18" t="s">
        <v>71</v>
      </c>
      <c r="E1" s="18" t="s">
        <v>72</v>
      </c>
      <c r="F1" s="18" t="s">
        <v>73</v>
      </c>
      <c r="G1" s="18" t="s">
        <v>74</v>
      </c>
      <c r="H1" s="18" t="s">
        <v>75</v>
      </c>
      <c r="I1" s="18" t="s">
        <v>76</v>
      </c>
      <c r="J1" s="18" t="s">
        <v>77</v>
      </c>
      <c r="K1" s="18" t="s">
        <v>78</v>
      </c>
      <c r="L1" s="18" t="s">
        <v>79</v>
      </c>
      <c r="M1" s="18" t="s">
        <v>80</v>
      </c>
      <c r="N1" s="18" t="s">
        <v>81</v>
      </c>
    </row>
    <row r="2" customFormat="false" ht="15" hidden="false" customHeight="false" outlineLevel="0" collapsed="false">
      <c r="A2" s="36" t="s">
        <v>26</v>
      </c>
      <c r="B2" s="36" t="s">
        <v>25</v>
      </c>
      <c r="C2" s="36" t="s">
        <v>82</v>
      </c>
      <c r="D2" s="36" t="n">
        <v>84835.060326</v>
      </c>
      <c r="E2" s="36" t="s">
        <v>83</v>
      </c>
      <c r="F2" s="36" t="n">
        <v>74514.765328</v>
      </c>
      <c r="G2" s="36" t="n">
        <v>0.00162035</v>
      </c>
      <c r="H2" s="36" t="n">
        <v>120.74</v>
      </c>
      <c r="I2" s="36" t="n">
        <v>107</v>
      </c>
      <c r="J2" s="36" t="n">
        <v>13.74</v>
      </c>
      <c r="K2" s="36" t="n">
        <v>12.84</v>
      </c>
      <c r="L2" s="36"/>
      <c r="M2" s="36" t="s">
        <v>84</v>
      </c>
      <c r="N2" s="36" t="s">
        <v>85</v>
      </c>
    </row>
    <row r="3" customFormat="false" ht="15" hidden="false" customHeight="false" outlineLevel="0" collapsed="false">
      <c r="A3" s="36" t="s">
        <v>28</v>
      </c>
      <c r="B3" s="36" t="s">
        <v>27</v>
      </c>
      <c r="C3" s="36" t="s">
        <v>82</v>
      </c>
      <c r="D3" s="36" t="n">
        <v>9.477678</v>
      </c>
      <c r="E3" s="36" t="s">
        <v>83</v>
      </c>
      <c r="F3" s="36" t="n">
        <v>8.324706</v>
      </c>
      <c r="G3" s="36" t="n">
        <v>6.72696447</v>
      </c>
      <c r="H3" s="36" t="n">
        <v>56</v>
      </c>
      <c r="I3" s="36" t="n">
        <v>58.03</v>
      </c>
      <c r="J3" s="36" t="n">
        <v>-2.03</v>
      </c>
      <c r="K3" s="36" t="n">
        <v>-3.5</v>
      </c>
      <c r="L3" s="36"/>
      <c r="M3" s="36" t="s">
        <v>84</v>
      </c>
      <c r="N3" s="36" t="s">
        <v>85</v>
      </c>
    </row>
    <row r="4" customFormat="false" ht="15" hidden="false" customHeight="false" outlineLevel="0" collapsed="false">
      <c r="A4" s="36" t="s">
        <v>30</v>
      </c>
      <c r="B4" s="36" t="s">
        <v>29</v>
      </c>
      <c r="C4" s="36" t="s">
        <v>82</v>
      </c>
      <c r="D4" s="36" t="n">
        <v>0.00692</v>
      </c>
      <c r="E4" s="36" t="s">
        <v>83</v>
      </c>
      <c r="F4" s="36" t="n">
        <v>0.006078</v>
      </c>
      <c r="G4" s="36" t="n">
        <v>14.8080141</v>
      </c>
      <c r="H4" s="36" t="n">
        <v>0.09</v>
      </c>
      <c r="I4" s="36" t="n">
        <v>0.1</v>
      </c>
      <c r="J4" s="36" t="n">
        <v>-0.01</v>
      </c>
      <c r="K4" s="36" t="n">
        <v>-10</v>
      </c>
      <c r="L4" s="36"/>
      <c r="M4" s="36" t="s">
        <v>84</v>
      </c>
      <c r="N4" s="36" t="s">
        <v>85</v>
      </c>
    </row>
    <row r="5" customFormat="false" ht="15" hidden="false" customHeight="false" outlineLevel="0" collapsed="false">
      <c r="A5" s="36" t="s">
        <v>15</v>
      </c>
      <c r="B5" s="36" t="s">
        <v>14</v>
      </c>
      <c r="C5" s="36" t="s">
        <v>86</v>
      </c>
      <c r="D5" s="36" t="n">
        <v>117.70528</v>
      </c>
      <c r="E5" s="36" t="s">
        <v>87</v>
      </c>
      <c r="F5" s="36" t="n">
        <v>117.70528</v>
      </c>
      <c r="G5" s="36" t="n">
        <v>0.477463713</v>
      </c>
      <c r="H5" s="36" t="n">
        <v>56.2</v>
      </c>
      <c r="I5" s="36" t="n">
        <v>50</v>
      </c>
      <c r="J5" s="36" t="n">
        <v>6.2</v>
      </c>
      <c r="K5" s="36" t="n">
        <v>12.4</v>
      </c>
      <c r="L5" s="36"/>
      <c r="M5" s="36" t="s">
        <v>84</v>
      </c>
      <c r="N5" s="36" t="s">
        <v>85</v>
      </c>
    </row>
    <row r="6" customFormat="false" ht="15" hidden="false" customHeight="false" outlineLevel="0" collapsed="false">
      <c r="A6" s="36" t="s">
        <v>17</v>
      </c>
      <c r="B6" s="36" t="s">
        <v>16</v>
      </c>
      <c r="C6" s="36" t="s">
        <v>86</v>
      </c>
      <c r="D6" s="36" t="n">
        <v>261.777377</v>
      </c>
      <c r="E6" s="36" t="s">
        <v>83</v>
      </c>
      <c r="F6" s="36" t="n">
        <v>229.93182</v>
      </c>
      <c r="G6" s="36" t="n">
        <v>0.258598397</v>
      </c>
      <c r="H6" s="36" t="n">
        <v>59.46</v>
      </c>
      <c r="I6" s="36" t="n">
        <v>37.04</v>
      </c>
      <c r="J6" s="36" t="n">
        <v>22.42</v>
      </c>
      <c r="K6" s="36" t="n">
        <v>60.53</v>
      </c>
      <c r="L6" s="36"/>
      <c r="M6" s="36" t="s">
        <v>84</v>
      </c>
      <c r="N6" s="36" t="s">
        <v>85</v>
      </c>
    </row>
    <row r="7" customFormat="false" ht="15" hidden="false" customHeight="false" outlineLevel="0" collapsed="false">
      <c r="A7" s="36" t="s">
        <v>19</v>
      </c>
      <c r="B7" s="36" t="s">
        <v>18</v>
      </c>
      <c r="C7" s="36" t="s">
        <v>86</v>
      </c>
      <c r="D7" s="36" t="n">
        <v>52.138653</v>
      </c>
      <c r="E7" s="36" t="s">
        <v>87</v>
      </c>
      <c r="F7" s="36" t="n">
        <v>52.138653</v>
      </c>
      <c r="G7" s="36" t="n">
        <v>0.87344028</v>
      </c>
      <c r="H7" s="36" t="n">
        <v>45.54</v>
      </c>
      <c r="I7" s="36" t="n">
        <v>49</v>
      </c>
      <c r="J7" s="36" t="n">
        <v>-3.46</v>
      </c>
      <c r="K7" s="36" t="n">
        <v>-7.06</v>
      </c>
      <c r="L7" s="36"/>
      <c r="M7" s="36" t="s">
        <v>84</v>
      </c>
      <c r="N7" s="36" t="s">
        <v>85</v>
      </c>
    </row>
    <row r="8" customFormat="false" ht="15" hidden="false" customHeight="false" outlineLevel="0" collapsed="false">
      <c r="A8" s="36" t="s">
        <v>21</v>
      </c>
      <c r="B8" s="36" t="s">
        <v>20</v>
      </c>
      <c r="C8" s="36" t="s">
        <v>86</v>
      </c>
      <c r="D8" s="36" t="n">
        <v>224.337832</v>
      </c>
      <c r="E8" s="36" t="s">
        <v>83</v>
      </c>
      <c r="F8" s="36" t="n">
        <v>197.046844</v>
      </c>
      <c r="G8" s="36" t="n">
        <v>0.35179452</v>
      </c>
      <c r="H8" s="36" t="n">
        <v>69.32</v>
      </c>
      <c r="I8" s="36" t="n">
        <v>74.08</v>
      </c>
      <c r="J8" s="36" t="n">
        <v>-4.76</v>
      </c>
      <c r="K8" s="36" t="n">
        <v>-6.43</v>
      </c>
      <c r="L8" s="36"/>
      <c r="M8" s="36" t="s">
        <v>84</v>
      </c>
      <c r="N8" s="36" t="s">
        <v>85</v>
      </c>
    </row>
    <row r="9" customFormat="false" ht="15" hidden="false" customHeight="false" outlineLevel="0" collapsed="false">
      <c r="A9" s="36" t="s">
        <v>23</v>
      </c>
      <c r="B9" s="36" t="s">
        <v>22</v>
      </c>
      <c r="C9" s="36" t="s">
        <v>86</v>
      </c>
      <c r="D9" s="36" t="n">
        <v>20.81</v>
      </c>
      <c r="E9" s="36" t="s">
        <v>87</v>
      </c>
      <c r="F9" s="36" t="n">
        <v>20.81</v>
      </c>
      <c r="G9" s="36" t="n">
        <v>1</v>
      </c>
      <c r="H9" s="36" t="n">
        <v>20.81</v>
      </c>
      <c r="I9" s="36" t="n">
        <v>23.42</v>
      </c>
      <c r="J9" s="36" t="n">
        <v>-2.61</v>
      </c>
      <c r="K9" s="36" t="n">
        <v>-11.14</v>
      </c>
      <c r="L9" s="36"/>
      <c r="M9" s="36" t="s">
        <v>84</v>
      </c>
      <c r="N9" s="36" t="s">
        <v>85</v>
      </c>
    </row>
    <row r="10" customFormat="false" ht="15" hidden="false" customHeight="false" outlineLevel="0" collapsed="false">
      <c r="A10" s="36" t="s">
        <v>34</v>
      </c>
      <c r="B10" s="36" t="s">
        <v>33</v>
      </c>
      <c r="C10" s="36" t="s">
        <v>88</v>
      </c>
      <c r="D10" s="36" t="n">
        <v>126.76</v>
      </c>
      <c r="E10" s="36" t="s">
        <v>87</v>
      </c>
      <c r="F10" s="36" t="n">
        <v>126.76</v>
      </c>
      <c r="G10" s="36" t="n">
        <v>1</v>
      </c>
      <c r="H10" s="36" t="n">
        <v>126.76</v>
      </c>
      <c r="I10" s="36"/>
      <c r="J10" s="36"/>
      <c r="K10" s="36"/>
      <c r="L10" s="36"/>
      <c r="M10" s="36" t="s">
        <v>84</v>
      </c>
      <c r="N10" s="36" t="s">
        <v>85</v>
      </c>
    </row>
    <row r="11" customFormat="false" ht="15" hidden="false" customHeight="false" outlineLevel="0" collapsed="false">
      <c r="A11" s="36" t="s">
        <v>36</v>
      </c>
      <c r="B11" s="36" t="s">
        <v>35</v>
      </c>
      <c r="C11" s="36" t="s">
        <v>88</v>
      </c>
      <c r="D11" s="36" t="n">
        <v>0.43</v>
      </c>
      <c r="E11" s="36" t="s">
        <v>87</v>
      </c>
      <c r="F11" s="36" t="n">
        <v>0.43</v>
      </c>
      <c r="G11" s="36" t="n">
        <v>1</v>
      </c>
      <c r="H11" s="36" t="n">
        <v>0.43</v>
      </c>
      <c r="I11" s="36"/>
      <c r="J11" s="36"/>
      <c r="K11" s="36"/>
      <c r="L11" s="36"/>
      <c r="M11" s="36" t="s">
        <v>84</v>
      </c>
      <c r="N11" s="36" t="s">
        <v>85</v>
      </c>
    </row>
    <row r="13" customFormat="false" ht="15" hidden="false" customHeight="false" outlineLevel="0" collapsed="false">
      <c r="A13" s="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7" t="s">
        <v>90</v>
      </c>
    </row>
    <row r="2" customFormat="false" ht="15" hidden="false" customHeight="false" outlineLevel="0" collapsed="false">
      <c r="A2" s="38"/>
    </row>
    <row r="3" customFormat="false" ht="26.85" hidden="false" customHeight="false" outlineLevel="0" collapsed="false">
      <c r="A3" s="38" t="s">
        <v>91</v>
      </c>
    </row>
    <row r="4" customFormat="false" ht="26.85" hidden="false" customHeight="false" outlineLevel="0" collapsed="false">
      <c r="A4" s="38" t="s">
        <v>92</v>
      </c>
    </row>
    <row r="5" customFormat="false" ht="15" hidden="false" customHeight="false" outlineLevel="0" collapsed="false">
      <c r="A5" s="38"/>
    </row>
    <row r="6" customFormat="false" ht="15" hidden="false" customHeight="false" outlineLevel="0" collapsed="false">
      <c r="A6" s="39" t="s">
        <v>93</v>
      </c>
    </row>
    <row r="7" customFormat="false" ht="15" hidden="false" customHeight="false" outlineLevel="0" collapsed="false">
      <c r="A7" s="38" t="s">
        <v>94</v>
      </c>
    </row>
    <row r="8" customFormat="false" ht="15" hidden="false" customHeight="false" outlineLevel="0" collapsed="false">
      <c r="A8" s="38" t="s">
        <v>95</v>
      </c>
    </row>
    <row r="9" customFormat="false" ht="15" hidden="false" customHeight="false" outlineLevel="0" collapsed="false">
      <c r="A9" s="38" t="s">
        <v>96</v>
      </c>
    </row>
    <row r="10" customFormat="false" ht="15" hidden="false" customHeight="false" outlineLevel="0" collapsed="false">
      <c r="A10" s="38" t="s">
        <v>97</v>
      </c>
    </row>
    <row r="11" customFormat="false" ht="15" hidden="false" customHeight="false" outlineLevel="0" collapsed="false">
      <c r="A11" s="39" t="s">
        <v>98</v>
      </c>
    </row>
    <row r="12" customFormat="false" ht="90" hidden="false" customHeight="true" outlineLevel="0" collapsed="false">
      <c r="A12" s="40" t="s">
        <v>99</v>
      </c>
    </row>
    <row r="13" customFormat="false" ht="15" hidden="false" customHeight="false" outlineLevel="0" collapsed="false">
      <c r="A13" s="38"/>
    </row>
    <row r="14" customFormat="false" ht="15" hidden="false" customHeight="false" outlineLevel="0" collapsed="false">
      <c r="A14" s="39" t="s">
        <v>100</v>
      </c>
    </row>
    <row r="15" customFormat="false" ht="15" hidden="false" customHeight="false" outlineLevel="0" collapsed="false">
      <c r="A15" s="38" t="s">
        <v>101</v>
      </c>
    </row>
    <row r="16" customFormat="false" ht="15" hidden="false" customHeight="false" outlineLevel="0" collapsed="false">
      <c r="A16" s="39" t="s">
        <v>98</v>
      </c>
    </row>
    <row r="17" customFormat="false" ht="120" hidden="false" customHeight="true" outlineLevel="0" collapsed="false">
      <c r="A17" s="40" t="s">
        <v>102</v>
      </c>
    </row>
    <row r="18" customFormat="false" ht="15" hidden="false" customHeight="false" outlineLevel="0" collapsed="false">
      <c r="A18" s="38"/>
    </row>
    <row r="19" customFormat="false" ht="26.85" hidden="false" customHeight="false" outlineLevel="0" collapsed="false">
      <c r="A19" s="38" t="s">
        <v>103</v>
      </c>
    </row>
    <row r="20" customFormat="false" ht="15" hidden="false" customHeight="false" outlineLevel="0" collapsed="false">
      <c r="A20" s="38"/>
    </row>
    <row r="21" customFormat="false" ht="26.85" hidden="false" customHeight="false" outlineLevel="0" collapsed="false">
      <c r="A21" s="41" t="s">
        <v>104</v>
      </c>
    </row>
    <row r="22" customFormat="false" ht="26.85" hidden="false" customHeight="false" outlineLevel="0" collapsed="false">
      <c r="A22" s="41" t="s">
        <v>105</v>
      </c>
    </row>
    <row r="23" customFormat="false" ht="32.8" hidden="false" customHeight="false" outlineLevel="0" collapsed="false">
      <c r="A23" s="4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2026-09-27T11:38:55Z</dcterms:created>
  <dc:creator>openpyxl</dc:creator>
  <dc:description/>
  <dc:language>en-US</dc:language>
  <cp:lastModifiedBy/>
  <dcterms:modified xsi:type="dcterms:W3CDTF">2026-09-27T14:38:56Z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